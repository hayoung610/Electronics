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nda\Google 드라이브\jacobs\과목\Engi\Electronics lab\5th lab\"/>
    </mc:Choice>
  </mc:AlternateContent>
  <bookViews>
    <workbookView xWindow="0" yWindow="0" windowWidth="11960" windowHeight="7320" firstSheet="1" activeTab="1"/>
  </bookViews>
  <sheets>
    <sheet name="Problem 1" sheetId="1" r:id="rId1"/>
    <sheet name="Desar Problem1" sheetId="4" r:id="rId2"/>
    <sheet name="Problem 2" sheetId="2" r:id="rId3"/>
    <sheet name="Problem 3" sheetId="3" r:id="rId4"/>
  </sheets>
  <externalReferences>
    <externalReference r:id="rId5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4" l="1"/>
  <c r="J10" i="4"/>
  <c r="J11" i="4"/>
  <c r="J12" i="4"/>
  <c r="J9" i="4"/>
  <c r="C2" i="4"/>
  <c r="D38" i="1"/>
  <c r="D39" i="1"/>
  <c r="G47" i="1"/>
  <c r="G46" i="1"/>
  <c r="G45" i="1"/>
  <c r="G44" i="1"/>
  <c r="F44" i="1"/>
  <c r="D47" i="1"/>
  <c r="D46" i="1"/>
  <c r="D45" i="1"/>
  <c r="D44" i="1"/>
  <c r="G41" i="1"/>
  <c r="G40" i="1"/>
  <c r="G39" i="1"/>
  <c r="G38" i="1"/>
  <c r="D41" i="1"/>
  <c r="D40" i="1"/>
  <c r="K16" i="1"/>
  <c r="K17" i="1"/>
  <c r="K15" i="1"/>
  <c r="K14" i="1"/>
  <c r="K13" i="1"/>
  <c r="K12" i="1"/>
  <c r="K11" i="1"/>
  <c r="K10" i="1"/>
  <c r="K9" i="1"/>
  <c r="K8" i="1"/>
</calcChain>
</file>

<file path=xl/sharedStrings.xml><?xml version="1.0" encoding="utf-8"?>
<sst xmlns="http://schemas.openxmlformats.org/spreadsheetml/2006/main" count="121" uniqueCount="74">
  <si>
    <t>258.0 micro</t>
  </si>
  <si>
    <t>2.1 V</t>
  </si>
  <si>
    <t>2.158 V</t>
  </si>
  <si>
    <t>A</t>
  </si>
  <si>
    <t>VD</t>
  </si>
  <si>
    <t>VGS</t>
  </si>
  <si>
    <t>V GS</t>
  </si>
  <si>
    <t>V DS</t>
  </si>
  <si>
    <t>V D</t>
  </si>
  <si>
    <t>I D</t>
  </si>
  <si>
    <t>2.4</t>
  </si>
  <si>
    <t>2.2</t>
  </si>
  <si>
    <t>2.6</t>
  </si>
  <si>
    <t>2.0</t>
  </si>
  <si>
    <t>0.007</t>
  </si>
  <si>
    <t>14.2 micro</t>
  </si>
  <si>
    <t>110.0 micro</t>
  </si>
  <si>
    <t>1.0</t>
  </si>
  <si>
    <t>109.5 micro</t>
  </si>
  <si>
    <t>3.0</t>
  </si>
  <si>
    <t>109.6 micro</t>
  </si>
  <si>
    <t>4.0</t>
  </si>
  <si>
    <t>109.0 micro</t>
  </si>
  <si>
    <t>0.0</t>
  </si>
  <si>
    <t>0.003</t>
  </si>
  <si>
    <t>48.2 micro</t>
  </si>
  <si>
    <t>813 micro</t>
  </si>
  <si>
    <t>0.989</t>
  </si>
  <si>
    <t>832 micro</t>
  </si>
  <si>
    <t>852 micro</t>
  </si>
  <si>
    <t>869 micro</t>
  </si>
  <si>
    <t>56.9 micro</t>
  </si>
  <si>
    <t>0.000</t>
  </si>
  <si>
    <t>6.86 m Amp</t>
  </si>
  <si>
    <t>0.672</t>
  </si>
  <si>
    <t>11.49 m Amp</t>
  </si>
  <si>
    <t>15.56 m Amp</t>
  </si>
  <si>
    <t>20.74 m Amp</t>
  </si>
  <si>
    <t>218.8 micro</t>
  </si>
  <si>
    <t>0.001</t>
  </si>
  <si>
    <t>0.222</t>
  </si>
  <si>
    <t>16.01 m Amp</t>
  </si>
  <si>
    <t>15.59 m Amp</t>
  </si>
  <si>
    <t>20.55 m Amp</t>
  </si>
  <si>
    <t>25.91 m Amp</t>
  </si>
  <si>
    <t>R1</t>
  </si>
  <si>
    <t>270.37 K Ohm</t>
  </si>
  <si>
    <t>RD</t>
  </si>
  <si>
    <t>235.7 Ohm</t>
  </si>
  <si>
    <t>Used</t>
  </si>
  <si>
    <t>269.6 kOhm</t>
  </si>
  <si>
    <t>219.6 Ohm</t>
  </si>
  <si>
    <t>4 Hard copy</t>
  </si>
  <si>
    <t>pic 0000</t>
  </si>
  <si>
    <t>pic 0001</t>
  </si>
  <si>
    <t xml:space="preserve">closed </t>
  </si>
  <si>
    <t>pic 0002</t>
  </si>
  <si>
    <t>opend</t>
  </si>
  <si>
    <t>pic 0003</t>
  </si>
  <si>
    <t>V GS [V]</t>
  </si>
  <si>
    <t>V DS [V]</t>
  </si>
  <si>
    <t>V D [V]</t>
  </si>
  <si>
    <t>I D [A]</t>
  </si>
  <si>
    <t>Vgs</t>
  </si>
  <si>
    <t>VDS [V]</t>
  </si>
  <si>
    <t>ID [A]</t>
  </si>
  <si>
    <t>Vds real</t>
  </si>
  <si>
    <t>I_D</t>
  </si>
  <si>
    <t>2V</t>
  </si>
  <si>
    <t>2.2V</t>
  </si>
  <si>
    <t>2.4V</t>
  </si>
  <si>
    <t>2.6V</t>
  </si>
  <si>
    <t>V th</t>
  </si>
  <si>
    <t>VGS - Vth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</si>
</sst>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charset val="1"/>
      <scheme val="minor"/>
    </font>
    <font>
      <sz val="11"/>
      <color rgb="FFFFFF0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Font="1" applyBorder="1"/>
    <xf numFmtId="11" fontId="0" fillId="0" borderId="1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2" xfId="0" applyFont="1" applyFill="1" applyBorder="1"/>
    <xf numFmtId="0" fontId="0" fillId="0" borderId="1" xfId="0" applyFont="1" applyFill="1" applyBorder="1"/>
    <xf numFmtId="11" fontId="0" fillId="0" borderId="1" xfId="0" applyNumberFormat="1" applyFill="1" applyBorder="1"/>
    <xf numFmtId="0" fontId="0" fillId="0" borderId="0" xfId="0" applyFill="1"/>
    <xf numFmtId="0" fontId="1" fillId="3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ID/VGS</a:t>
            </a:r>
            <a:r>
              <a:rPr lang="en-US" altLang="ko-KR" baseline="0"/>
              <a:t> of fixed UDS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1'!$H$8:$H$17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2.4</c:v>
                </c:pt>
                <c:pt idx="7">
                  <c:v>2.5</c:v>
                </c:pt>
                <c:pt idx="8">
                  <c:v>2.7</c:v>
                </c:pt>
                <c:pt idx="9">
                  <c:v>3</c:v>
                </c:pt>
              </c:numCache>
            </c:numRef>
          </c:xVal>
          <c:yVal>
            <c:numRef>
              <c:f>'Problem 1'!$K$8:$K$17</c:f>
              <c:numCache>
                <c:formatCode>General</c:formatCode>
                <c:ptCount val="10"/>
                <c:pt idx="0">
                  <c:v>2.9999999999999999E-7</c:v>
                </c:pt>
                <c:pt idx="1">
                  <c:v>2.9999999999999999E-7</c:v>
                </c:pt>
                <c:pt idx="2">
                  <c:v>2.9999999999999999E-7</c:v>
                </c:pt>
                <c:pt idx="3">
                  <c:v>3.9999999999999998E-7</c:v>
                </c:pt>
                <c:pt idx="4">
                  <c:v>1.0779999999999999E-4</c:v>
                </c:pt>
                <c:pt idx="5">
                  <c:v>2.8999999999999998E-3</c:v>
                </c:pt>
                <c:pt idx="6">
                  <c:v>1.0699999999999999E-2</c:v>
                </c:pt>
                <c:pt idx="7">
                  <c:v>1.84E-2</c:v>
                </c:pt>
                <c:pt idx="8">
                  <c:v>3.56E-2</c:v>
                </c:pt>
                <c:pt idx="9">
                  <c:v>7.4900000000000008E-2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2504608"/>
        <c:axId val="-162505152"/>
      </c:scatterChart>
      <c:valAx>
        <c:axId val="-16250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V</a:t>
                </a:r>
                <a:r>
                  <a:rPr lang="en-US" altLang="ko-KR" baseline="0"/>
                  <a:t> GS [V]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2505152"/>
        <c:crosses val="autoZero"/>
        <c:crossBetween val="midCat"/>
      </c:valAx>
      <c:valAx>
        <c:axId val="-1625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ID [A]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250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VGS = 2.0V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1'!$C$37:$C$41</c:f>
              <c:numCache>
                <c:formatCode>General</c:formatCode>
                <c:ptCount val="5"/>
                <c:pt idx="0" formatCode="0.000">
                  <c:v>0</c:v>
                </c:pt>
                <c:pt idx="1">
                  <c:v>1.113</c:v>
                </c:pt>
                <c:pt idx="2">
                  <c:v>2.2029999999999998</c:v>
                </c:pt>
                <c:pt idx="3">
                  <c:v>3.0870000000000002</c:v>
                </c:pt>
                <c:pt idx="4">
                  <c:v>4.0369999999999999</c:v>
                </c:pt>
              </c:numCache>
            </c:numRef>
          </c:xVal>
          <c:yVal>
            <c:numRef>
              <c:f>'Problem 1'!$D$37:$D$41</c:f>
              <c:numCache>
                <c:formatCode>General</c:formatCode>
                <c:ptCount val="5"/>
                <c:pt idx="0">
                  <c:v>0</c:v>
                </c:pt>
                <c:pt idx="1">
                  <c:v>1.0999999999999999E-4</c:v>
                </c:pt>
                <c:pt idx="2">
                  <c:v>1.0949999999999999E-4</c:v>
                </c:pt>
                <c:pt idx="3">
                  <c:v>1.0959999999999999E-4</c:v>
                </c:pt>
                <c:pt idx="4">
                  <c:v>1.0899999999999999E-4</c:v>
                </c:pt>
              </c:numCache>
            </c:numRef>
          </c:yVal>
          <c:smooth val="1"/>
        </c:ser>
        <c:ser>
          <c:idx val="1"/>
          <c:order val="1"/>
          <c:tx>
            <c:v>VGS = 2.2V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'Problem 1'!$F$37:$F$41</c:f>
              <c:numCache>
                <c:formatCode>General</c:formatCode>
                <c:ptCount val="5"/>
                <c:pt idx="0" formatCode="0.000">
                  <c:v>0</c:v>
                </c:pt>
                <c:pt idx="1">
                  <c:v>0.98899999999999999</c:v>
                </c:pt>
                <c:pt idx="2">
                  <c:v>1.982</c:v>
                </c:pt>
                <c:pt idx="3">
                  <c:v>2.9390000000000001</c:v>
                </c:pt>
                <c:pt idx="4">
                  <c:v>3.9790000000000001</c:v>
                </c:pt>
              </c:numCache>
            </c:numRef>
          </c:xVal>
          <c:yVal>
            <c:numRef>
              <c:f>'Problem 1'!$G$37:$G$41</c:f>
              <c:numCache>
                <c:formatCode>General</c:formatCode>
                <c:ptCount val="5"/>
                <c:pt idx="0">
                  <c:v>0</c:v>
                </c:pt>
                <c:pt idx="1">
                  <c:v>8.1299999999999992E-4</c:v>
                </c:pt>
                <c:pt idx="2">
                  <c:v>8.3199999999999995E-4</c:v>
                </c:pt>
                <c:pt idx="3">
                  <c:v>8.52E-4</c:v>
                </c:pt>
                <c:pt idx="4">
                  <c:v>8.6899999999999998E-4</c:v>
                </c:pt>
              </c:numCache>
            </c:numRef>
          </c:yVal>
          <c:smooth val="1"/>
        </c:ser>
        <c:ser>
          <c:idx val="2"/>
          <c:order val="2"/>
          <c:tx>
            <c:v>VGS = 2.4V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'Problem 1'!$C$43:$C$47</c:f>
              <c:numCache>
                <c:formatCode>General</c:formatCode>
                <c:ptCount val="5"/>
                <c:pt idx="0" formatCode="0.000">
                  <c:v>0</c:v>
                </c:pt>
                <c:pt idx="1">
                  <c:v>0.67200000000000004</c:v>
                </c:pt>
                <c:pt idx="2">
                  <c:v>1.4370000000000001</c:v>
                </c:pt>
                <c:pt idx="3">
                  <c:v>2.23</c:v>
                </c:pt>
                <c:pt idx="4">
                  <c:v>2.8969999999999998</c:v>
                </c:pt>
              </c:numCache>
            </c:numRef>
          </c:xVal>
          <c:yVal>
            <c:numRef>
              <c:f>'Problem 1'!$D$43:$D$47</c:f>
              <c:numCache>
                <c:formatCode>General</c:formatCode>
                <c:ptCount val="5"/>
                <c:pt idx="0">
                  <c:v>0</c:v>
                </c:pt>
                <c:pt idx="1">
                  <c:v>6.8600000000000006E-3</c:v>
                </c:pt>
                <c:pt idx="2">
                  <c:v>1.149E-2</c:v>
                </c:pt>
                <c:pt idx="3">
                  <c:v>1.5560000000000001E-2</c:v>
                </c:pt>
                <c:pt idx="4">
                  <c:v>2.0739999999999998E-2</c:v>
                </c:pt>
              </c:numCache>
            </c:numRef>
          </c:yVal>
          <c:smooth val="1"/>
        </c:ser>
        <c:ser>
          <c:idx val="3"/>
          <c:order val="3"/>
          <c:tx>
            <c:v>VGS = 2.6V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'Problem 1'!$F$43:$F$47</c:f>
              <c:numCache>
                <c:formatCode>General</c:formatCode>
                <c:ptCount val="5"/>
                <c:pt idx="0" formatCode="0.000">
                  <c:v>0</c:v>
                </c:pt>
                <c:pt idx="1">
                  <c:v>0.222</c:v>
                </c:pt>
                <c:pt idx="2">
                  <c:v>1.268</c:v>
                </c:pt>
                <c:pt idx="3">
                  <c:v>1.9810000000000001</c:v>
                </c:pt>
                <c:pt idx="4">
                  <c:v>2.6469999999999998</c:v>
                </c:pt>
              </c:numCache>
            </c:numRef>
          </c:xVal>
          <c:yVal>
            <c:numRef>
              <c:f>'Problem 1'!$G$43:$G$47</c:f>
              <c:numCache>
                <c:formatCode>General</c:formatCode>
                <c:ptCount val="5"/>
                <c:pt idx="0">
                  <c:v>0</c:v>
                </c:pt>
                <c:pt idx="1">
                  <c:v>1.6010000000000003E-2</c:v>
                </c:pt>
                <c:pt idx="2">
                  <c:v>1.559E-2</c:v>
                </c:pt>
                <c:pt idx="3">
                  <c:v>2.0550000000000002E-2</c:v>
                </c:pt>
                <c:pt idx="4">
                  <c:v>2.5909999999999999E-2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6822816"/>
        <c:axId val="-166821728"/>
      </c:scatterChart>
      <c:valAx>
        <c:axId val="-16682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6821728"/>
        <c:crosses val="autoZero"/>
        <c:crossBetween val="midCat"/>
      </c:valAx>
      <c:valAx>
        <c:axId val="-16682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682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Output</a:t>
            </a:r>
            <a:r>
              <a:rPr lang="en-US" altLang="ko-KR" baseline="0"/>
              <a:t> characteristic of different gate source voltage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VGS = 2V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[1]Sheet1!$D$6:$D$10</c:f>
              <c:numCache>
                <c:formatCode>General</c:formatCode>
                <c:ptCount val="5"/>
                <c:pt idx="0">
                  <c:v>4.0000000000000001E-3</c:v>
                </c:pt>
                <c:pt idx="1">
                  <c:v>0.50900000000000001</c:v>
                </c:pt>
                <c:pt idx="2">
                  <c:v>0.99399999999999999</c:v>
                </c:pt>
                <c:pt idx="3">
                  <c:v>1.496</c:v>
                </c:pt>
                <c:pt idx="4">
                  <c:v>2.004</c:v>
                </c:pt>
              </c:numCache>
            </c:numRef>
          </c:xVal>
          <c:yVal>
            <c:numRef>
              <c:f>[1]Sheet1!$C$6:$C$10</c:f>
              <c:numCache>
                <c:formatCode>General</c:formatCode>
                <c:ptCount val="5"/>
                <c:pt idx="0">
                  <c:v>2.12E-5</c:v>
                </c:pt>
                <c:pt idx="1">
                  <c:v>1.8120000000000001E-4</c:v>
                </c:pt>
                <c:pt idx="2">
                  <c:v>1.8670000000000001E-4</c:v>
                </c:pt>
                <c:pt idx="3">
                  <c:v>1.5029999999999999E-4</c:v>
                </c:pt>
                <c:pt idx="4">
                  <c:v>1.5029999999999999E-4</c:v>
                </c:pt>
              </c:numCache>
            </c:numRef>
          </c:yVal>
          <c:smooth val="1"/>
        </c:ser>
        <c:ser>
          <c:idx val="1"/>
          <c:order val="1"/>
          <c:tx>
            <c:v>VGS = 2.2V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[1]Sheet1!$D$17:$D$25</c:f>
              <c:numCache>
                <c:formatCode>General</c:formatCode>
                <c:ptCount val="9"/>
                <c:pt idx="0">
                  <c:v>0</c:v>
                </c:pt>
                <c:pt idx="1">
                  <c:v>0.50600000000000001</c:v>
                </c:pt>
                <c:pt idx="2">
                  <c:v>1.0129999999999999</c:v>
                </c:pt>
                <c:pt idx="3">
                  <c:v>1.4950000000000001</c:v>
                </c:pt>
                <c:pt idx="4">
                  <c:v>2</c:v>
                </c:pt>
                <c:pt idx="5">
                  <c:v>2.5179999999999998</c:v>
                </c:pt>
                <c:pt idx="6">
                  <c:v>3.08</c:v>
                </c:pt>
                <c:pt idx="7">
                  <c:v>3.5059999999999998</c:v>
                </c:pt>
                <c:pt idx="8">
                  <c:v>4</c:v>
                </c:pt>
              </c:numCache>
            </c:numRef>
          </c:xVal>
          <c:yVal>
            <c:numRef>
              <c:f>[1]Sheet1!$C$17:$C$25</c:f>
              <c:numCache>
                <c:formatCode>General</c:formatCode>
                <c:ptCount val="9"/>
                <c:pt idx="0">
                  <c:v>4.3800000000000001E-5</c:v>
                </c:pt>
                <c:pt idx="1">
                  <c:v>1.7880000000000001E-3</c:v>
                </c:pt>
                <c:pt idx="2">
                  <c:v>1.8550000000000001E-3</c:v>
                </c:pt>
                <c:pt idx="3">
                  <c:v>1.8940000000000001E-3</c:v>
                </c:pt>
                <c:pt idx="4">
                  <c:v>1.9189999999999999E-3</c:v>
                </c:pt>
                <c:pt idx="5">
                  <c:v>1.946E-3</c:v>
                </c:pt>
                <c:pt idx="6">
                  <c:v>1.98E-3</c:v>
                </c:pt>
                <c:pt idx="7">
                  <c:v>2.006E-3</c:v>
                </c:pt>
                <c:pt idx="8">
                  <c:v>2.042E-3</c:v>
                </c:pt>
              </c:numCache>
            </c:numRef>
          </c:yVal>
          <c:smooth val="1"/>
        </c:ser>
        <c:ser>
          <c:idx val="2"/>
          <c:order val="2"/>
          <c:tx>
            <c:v>VGS = 2.4V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[1]Sheet1!$J$6:$J$14</c:f>
              <c:numCache>
                <c:formatCode>General</c:formatCode>
                <c:ptCount val="9"/>
                <c:pt idx="0">
                  <c:v>0</c:v>
                </c:pt>
                <c:pt idx="1">
                  <c:v>0.52200000000000002</c:v>
                </c:pt>
                <c:pt idx="2">
                  <c:v>1.016</c:v>
                </c:pt>
                <c:pt idx="3">
                  <c:v>1.5069999999999999</c:v>
                </c:pt>
                <c:pt idx="4">
                  <c:v>2.0139999999999998</c:v>
                </c:pt>
                <c:pt idx="5">
                  <c:v>2.5059999999999998</c:v>
                </c:pt>
                <c:pt idx="6">
                  <c:v>3.0009999999999999</c:v>
                </c:pt>
                <c:pt idx="7">
                  <c:v>3.5</c:v>
                </c:pt>
                <c:pt idx="8">
                  <c:v>4.0069999999999997</c:v>
                </c:pt>
              </c:numCache>
            </c:numRef>
          </c:xVal>
          <c:yVal>
            <c:numRef>
              <c:f>[1]Sheet1!$I$6:$I$14</c:f>
              <c:numCache>
                <c:formatCode>General</c:formatCode>
                <c:ptCount val="9"/>
                <c:pt idx="0">
                  <c:v>5.02E-5</c:v>
                </c:pt>
                <c:pt idx="1">
                  <c:v>7.3000000000000001E-3</c:v>
                </c:pt>
                <c:pt idx="2">
                  <c:v>9.6600000000000002E-3</c:v>
                </c:pt>
                <c:pt idx="3">
                  <c:v>1.307E-2</c:v>
                </c:pt>
                <c:pt idx="4">
                  <c:v>1.6729999999999998E-2</c:v>
                </c:pt>
                <c:pt idx="5">
                  <c:v>2.0459999999999999E-2</c:v>
                </c:pt>
                <c:pt idx="6">
                  <c:v>2.4420000000000001E-2</c:v>
                </c:pt>
                <c:pt idx="7">
                  <c:v>2.8469999999999999E-2</c:v>
                </c:pt>
                <c:pt idx="8">
                  <c:v>3.2689999999999997E-2</c:v>
                </c:pt>
              </c:numCache>
            </c:numRef>
          </c:yVal>
          <c:smooth val="1"/>
        </c:ser>
        <c:ser>
          <c:idx val="3"/>
          <c:order val="3"/>
          <c:tx>
            <c:v>VGS = 2.6V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[1]Sheet1!$J$17:$J$25</c:f>
              <c:numCache>
                <c:formatCode>General</c:formatCode>
                <c:ptCount val="9"/>
                <c:pt idx="0">
                  <c:v>0</c:v>
                </c:pt>
                <c:pt idx="1">
                  <c:v>0.52500000000000002</c:v>
                </c:pt>
                <c:pt idx="2">
                  <c:v>1.016</c:v>
                </c:pt>
                <c:pt idx="3">
                  <c:v>1.538</c:v>
                </c:pt>
                <c:pt idx="4">
                  <c:v>2.0169999999999999</c:v>
                </c:pt>
                <c:pt idx="5">
                  <c:v>2.5089999999999999</c:v>
                </c:pt>
                <c:pt idx="6">
                  <c:v>3.0019999999999998</c:v>
                </c:pt>
                <c:pt idx="7">
                  <c:v>3.496</c:v>
                </c:pt>
                <c:pt idx="8">
                  <c:v>3.9969999999999999</c:v>
                </c:pt>
              </c:numCache>
            </c:numRef>
          </c:xVal>
          <c:yVal>
            <c:numRef>
              <c:f>[1]Sheet1!$I$17:$I$25</c:f>
              <c:numCache>
                <c:formatCode>General</c:formatCode>
                <c:ptCount val="9"/>
                <c:pt idx="0">
                  <c:v>5.8300000000000001E-5</c:v>
                </c:pt>
                <c:pt idx="1">
                  <c:v>1.162E-2</c:v>
                </c:pt>
                <c:pt idx="2">
                  <c:v>1.289E-2</c:v>
                </c:pt>
                <c:pt idx="3">
                  <c:v>1.6140000000000002E-2</c:v>
                </c:pt>
                <c:pt idx="4">
                  <c:v>1.9720000000000001E-2</c:v>
                </c:pt>
                <c:pt idx="5">
                  <c:v>2.342E-2</c:v>
                </c:pt>
                <c:pt idx="6">
                  <c:v>2.726E-2</c:v>
                </c:pt>
                <c:pt idx="7">
                  <c:v>3.1269999999999999E-2</c:v>
                </c:pt>
                <c:pt idx="8">
                  <c:v>3.5490000000000001E-2</c:v>
                </c:pt>
              </c:numCache>
            </c:numRef>
          </c:yVal>
          <c:smooth val="1"/>
        </c:ser>
        <c:ser>
          <c:idx val="4"/>
          <c:order val="4"/>
          <c:tx>
            <c:v>V GS - V th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'Desar Problem1'!$H$3:$H$6</c:f>
              <c:numCache>
                <c:formatCode>General</c:formatCode>
                <c:ptCount val="4"/>
                <c:pt idx="0">
                  <c:v>4.0000000000000001E-3</c:v>
                </c:pt>
                <c:pt idx="1">
                  <c:v>0.106</c:v>
                </c:pt>
                <c:pt idx="2">
                  <c:v>0.30599999999999999</c:v>
                </c:pt>
                <c:pt idx="3">
                  <c:v>0.50600000000000001</c:v>
                </c:pt>
              </c:numCache>
            </c:numRef>
          </c:xVal>
          <c:yVal>
            <c:numRef>
              <c:f>'Desar Problem1'!$I$3:$I$6</c:f>
              <c:numCache>
                <c:formatCode>0.00E+00</c:formatCode>
                <c:ptCount val="4"/>
                <c:pt idx="0">
                  <c:v>2.12E-5</c:v>
                </c:pt>
                <c:pt idx="1">
                  <c:v>5.7879999999999997E-4</c:v>
                </c:pt>
                <c:pt idx="2">
                  <c:v>4.4999999999999997E-3</c:v>
                </c:pt>
                <c:pt idx="3">
                  <c:v>1.162E-2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93041456"/>
        <c:axId val="-98895632"/>
      </c:scatterChart>
      <c:valAx>
        <c:axId val="-39304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U DS [V]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8895632"/>
        <c:crosses val="autoZero"/>
        <c:crossBetween val="midCat"/>
      </c:valAx>
      <c:valAx>
        <c:axId val="-988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I</a:t>
                </a:r>
                <a:r>
                  <a:rPr lang="en-US" altLang="ko-KR" baseline="0"/>
                  <a:t> D [A]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9304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34924</xdr:colOff>
      <xdr:row>0</xdr:row>
      <xdr:rowOff>146050</xdr:rowOff>
    </xdr:from>
    <xdr:to>
      <xdr:col>22</xdr:col>
      <xdr:colOff>25399</xdr:colOff>
      <xdr:row>21</xdr:row>
      <xdr:rowOff>12700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34924</xdr:colOff>
      <xdr:row>31</xdr:row>
      <xdr:rowOff>123824</xdr:rowOff>
    </xdr:from>
    <xdr:to>
      <xdr:col>18</xdr:col>
      <xdr:colOff>31749</xdr:colOff>
      <xdr:row>48</xdr:row>
      <xdr:rowOff>107949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265692</xdr:colOff>
      <xdr:row>0</xdr:row>
      <xdr:rowOff>185141</xdr:rowOff>
    </xdr:from>
    <xdr:to>
      <xdr:col>19</xdr:col>
      <xdr:colOff>500529</xdr:colOff>
      <xdr:row>18</xdr:row>
      <xdr:rowOff>97117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sar/data/measurements_p1_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6">
          <cell r="C6">
            <v>2.12E-5</v>
          </cell>
          <cell r="D6">
            <v>4.0000000000000001E-3</v>
          </cell>
          <cell r="I6">
            <v>5.02E-5</v>
          </cell>
          <cell r="J6">
            <v>0</v>
          </cell>
        </row>
        <row r="7">
          <cell r="C7">
            <v>1.8120000000000001E-4</v>
          </cell>
          <cell r="D7">
            <v>0.50900000000000001</v>
          </cell>
          <cell r="I7">
            <v>7.3000000000000001E-3</v>
          </cell>
          <cell r="J7">
            <v>0.52200000000000002</v>
          </cell>
        </row>
        <row r="8">
          <cell r="C8">
            <v>1.8670000000000001E-4</v>
          </cell>
          <cell r="D8">
            <v>0.99399999999999999</v>
          </cell>
          <cell r="I8">
            <v>9.6600000000000002E-3</v>
          </cell>
          <cell r="J8">
            <v>1.016</v>
          </cell>
        </row>
        <row r="9">
          <cell r="C9">
            <v>1.5029999999999999E-4</v>
          </cell>
          <cell r="D9">
            <v>1.496</v>
          </cell>
          <cell r="I9">
            <v>1.307E-2</v>
          </cell>
          <cell r="J9">
            <v>1.5069999999999999</v>
          </cell>
        </row>
        <row r="10">
          <cell r="C10">
            <v>1.5029999999999999E-4</v>
          </cell>
          <cell r="D10">
            <v>2.004</v>
          </cell>
          <cell r="I10">
            <v>1.6729999999999998E-2</v>
          </cell>
          <cell r="J10">
            <v>2.0139999999999998</v>
          </cell>
        </row>
        <row r="11">
          <cell r="I11">
            <v>2.0459999999999999E-2</v>
          </cell>
          <cell r="J11">
            <v>2.5059999999999998</v>
          </cell>
        </row>
        <row r="12">
          <cell r="I12">
            <v>2.4420000000000001E-2</v>
          </cell>
          <cell r="J12">
            <v>3.0009999999999999</v>
          </cell>
        </row>
        <row r="13">
          <cell r="I13">
            <v>2.8469999999999999E-2</v>
          </cell>
          <cell r="J13">
            <v>3.5</v>
          </cell>
        </row>
        <row r="14">
          <cell r="I14">
            <v>3.2689999999999997E-2</v>
          </cell>
          <cell r="J14">
            <v>4.0069999999999997</v>
          </cell>
        </row>
        <row r="17">
          <cell r="C17">
            <v>4.3800000000000001E-5</v>
          </cell>
          <cell r="D17">
            <v>0</v>
          </cell>
          <cell r="I17">
            <v>5.8300000000000001E-5</v>
          </cell>
          <cell r="J17">
            <v>0</v>
          </cell>
        </row>
        <row r="18">
          <cell r="C18">
            <v>1.7880000000000001E-3</v>
          </cell>
          <cell r="D18">
            <v>0.50600000000000001</v>
          </cell>
          <cell r="I18">
            <v>1.162E-2</v>
          </cell>
          <cell r="J18">
            <v>0.52500000000000002</v>
          </cell>
        </row>
        <row r="19">
          <cell r="C19">
            <v>1.8550000000000001E-3</v>
          </cell>
          <cell r="D19">
            <v>1.0129999999999999</v>
          </cell>
          <cell r="I19">
            <v>1.289E-2</v>
          </cell>
          <cell r="J19">
            <v>1.016</v>
          </cell>
        </row>
        <row r="20">
          <cell r="C20">
            <v>1.8940000000000001E-3</v>
          </cell>
          <cell r="D20">
            <v>1.4950000000000001</v>
          </cell>
          <cell r="I20">
            <v>1.6140000000000002E-2</v>
          </cell>
          <cell r="J20">
            <v>1.538</v>
          </cell>
        </row>
        <row r="21">
          <cell r="C21">
            <v>1.9189999999999999E-3</v>
          </cell>
          <cell r="D21">
            <v>2</v>
          </cell>
          <cell r="I21">
            <v>1.9720000000000001E-2</v>
          </cell>
          <cell r="J21">
            <v>2.0169999999999999</v>
          </cell>
        </row>
        <row r="22">
          <cell r="C22">
            <v>1.946E-3</v>
          </cell>
          <cell r="D22">
            <v>2.5179999999999998</v>
          </cell>
          <cell r="I22">
            <v>2.342E-2</v>
          </cell>
          <cell r="J22">
            <v>2.5089999999999999</v>
          </cell>
        </row>
        <row r="23">
          <cell r="C23">
            <v>1.98E-3</v>
          </cell>
          <cell r="D23">
            <v>3.08</v>
          </cell>
          <cell r="I23">
            <v>2.726E-2</v>
          </cell>
          <cell r="J23">
            <v>3.0019999999999998</v>
          </cell>
        </row>
        <row r="24">
          <cell r="C24">
            <v>2.006E-3</v>
          </cell>
          <cell r="D24">
            <v>3.5059999999999998</v>
          </cell>
          <cell r="I24">
            <v>3.1269999999999999E-2</v>
          </cell>
          <cell r="J24">
            <v>3.496</v>
          </cell>
        </row>
        <row r="25">
          <cell r="C25">
            <v>2.042E-3</v>
          </cell>
          <cell r="D25">
            <v>4</v>
          </cell>
          <cell r="I25">
            <v>3.5490000000000001E-2</v>
          </cell>
          <cell r="J25">
            <v>3.9969999999999999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zoomScaleNormal="100" workbookViewId="0">
      <selection activeCell="E12" sqref="E12"/>
    </sheetView>
  </sheetViews>
  <sheetFormatPr defaultRowHeight="14.5" x14ac:dyDescent="0.35"/>
  <cols>
    <col min="1" max="1" width="15.81640625" customWidth="1"/>
    <col min="4" max="4" width="11.36328125" bestFit="1" customWidth="1"/>
    <col min="5" max="5" width="9.81640625" bestFit="1" customWidth="1"/>
    <col min="7" max="7" width="9.81640625" bestFit="1" customWidth="1"/>
    <col min="11" max="11" width="9.81640625" bestFit="1" customWidth="1"/>
  </cols>
  <sheetData>
    <row r="1" spans="1:12" x14ac:dyDescent="0.35">
      <c r="B1" s="8"/>
      <c r="C1" s="8"/>
      <c r="D1" s="8"/>
      <c r="E1" s="8"/>
      <c r="F1" s="8"/>
    </row>
    <row r="2" spans="1:12" x14ac:dyDescent="0.35">
      <c r="B2" s="8"/>
      <c r="D2" t="s">
        <v>4</v>
      </c>
      <c r="E2" t="s">
        <v>5</v>
      </c>
      <c r="F2" s="8"/>
    </row>
    <row r="3" spans="1:12" x14ac:dyDescent="0.35">
      <c r="A3" t="s">
        <v>0</v>
      </c>
      <c r="B3" s="8"/>
      <c r="C3" t="s">
        <v>3</v>
      </c>
      <c r="D3" t="s">
        <v>1</v>
      </c>
      <c r="E3" t="s">
        <v>2</v>
      </c>
      <c r="F3" s="8"/>
    </row>
    <row r="4" spans="1:12" x14ac:dyDescent="0.35">
      <c r="B4" s="8"/>
      <c r="C4" s="8"/>
      <c r="D4" s="8"/>
      <c r="E4" s="8"/>
      <c r="F4" s="8"/>
    </row>
    <row r="5" spans="1:12" x14ac:dyDescent="0.35">
      <c r="A5">
        <v>2</v>
      </c>
    </row>
    <row r="6" spans="1:12" x14ac:dyDescent="0.35">
      <c r="G6" s="6"/>
      <c r="H6" s="6"/>
      <c r="I6" s="6"/>
      <c r="J6" s="6"/>
      <c r="K6" s="6"/>
      <c r="L6" s="6"/>
    </row>
    <row r="7" spans="1:12" x14ac:dyDescent="0.35">
      <c r="G7" s="6"/>
      <c r="H7" t="s">
        <v>59</v>
      </c>
      <c r="I7" t="s">
        <v>60</v>
      </c>
      <c r="J7" t="s">
        <v>61</v>
      </c>
      <c r="K7" t="s">
        <v>62</v>
      </c>
      <c r="L7" s="6"/>
    </row>
    <row r="8" spans="1:12" x14ac:dyDescent="0.35">
      <c r="C8" s="1"/>
      <c r="G8" s="6"/>
      <c r="H8">
        <v>0</v>
      </c>
      <c r="I8">
        <v>5.0060000000000002</v>
      </c>
      <c r="J8">
        <v>4.9000000000000004</v>
      </c>
      <c r="K8">
        <f>0.3*10^(-6)</f>
        <v>2.9999999999999999E-7</v>
      </c>
      <c r="L8" s="6"/>
    </row>
    <row r="9" spans="1:12" x14ac:dyDescent="0.35">
      <c r="C9" s="1"/>
      <c r="G9" s="6"/>
      <c r="H9">
        <v>0.5</v>
      </c>
      <c r="I9">
        <v>5.0060000000000002</v>
      </c>
      <c r="J9">
        <v>4.9000000000000004</v>
      </c>
      <c r="K9">
        <f>0.3*10^(-6)</f>
        <v>2.9999999999999999E-7</v>
      </c>
      <c r="L9" s="6"/>
    </row>
    <row r="10" spans="1:12" x14ac:dyDescent="0.35">
      <c r="C10" s="1"/>
      <c r="G10" s="6"/>
      <c r="H10">
        <v>1</v>
      </c>
      <c r="I10">
        <v>5.0060000000000002</v>
      </c>
      <c r="J10">
        <v>4.9000000000000004</v>
      </c>
      <c r="K10">
        <f>0.3*10^(-6)</f>
        <v>2.9999999999999999E-7</v>
      </c>
      <c r="L10" s="6"/>
    </row>
    <row r="11" spans="1:12" x14ac:dyDescent="0.35">
      <c r="C11" s="1"/>
      <c r="G11" s="6"/>
      <c r="H11">
        <v>1.5</v>
      </c>
      <c r="I11">
        <v>5.0060000000000002</v>
      </c>
      <c r="J11">
        <v>4.9000000000000004</v>
      </c>
      <c r="K11">
        <f>0.4*10^(-6)</f>
        <v>3.9999999999999998E-7</v>
      </c>
      <c r="L11" s="6"/>
    </row>
    <row r="12" spans="1:12" x14ac:dyDescent="0.35">
      <c r="C12" s="1"/>
      <c r="G12" s="6"/>
      <c r="H12">
        <v>2</v>
      </c>
      <c r="I12" s="2">
        <v>4.99</v>
      </c>
      <c r="J12">
        <v>4.9000000000000004</v>
      </c>
      <c r="K12">
        <f>107.8*10^(-6)</f>
        <v>1.0779999999999999E-4</v>
      </c>
      <c r="L12" s="6"/>
    </row>
    <row r="13" spans="1:12" x14ac:dyDescent="0.35">
      <c r="C13" s="1"/>
      <c r="G13" s="6"/>
      <c r="H13">
        <v>2.2000000000000002</v>
      </c>
      <c r="I13">
        <v>5.0030000000000001</v>
      </c>
      <c r="J13">
        <v>5</v>
      </c>
      <c r="K13">
        <f>2.9*10^(-3)</f>
        <v>2.8999999999999998E-3</v>
      </c>
      <c r="L13" s="6"/>
    </row>
    <row r="14" spans="1:12" x14ac:dyDescent="0.35">
      <c r="C14" s="1"/>
      <c r="G14" s="6"/>
      <c r="H14">
        <v>2.4</v>
      </c>
      <c r="I14">
        <v>5.0030000000000001</v>
      </c>
      <c r="J14">
        <v>7.1</v>
      </c>
      <c r="K14">
        <f>10.7*10^(-3)</f>
        <v>1.0699999999999999E-2</v>
      </c>
      <c r="L14" s="6"/>
    </row>
    <row r="15" spans="1:12" x14ac:dyDescent="0.35">
      <c r="C15" s="1"/>
      <c r="G15" s="6"/>
      <c r="H15">
        <v>2.5</v>
      </c>
      <c r="I15">
        <v>3.0059999999999998</v>
      </c>
      <c r="J15">
        <v>7.3</v>
      </c>
      <c r="K15">
        <f>18.4*10^(-3)</f>
        <v>1.84E-2</v>
      </c>
      <c r="L15" s="6"/>
    </row>
    <row r="16" spans="1:12" x14ac:dyDescent="0.35">
      <c r="C16" s="1"/>
      <c r="G16" s="6"/>
      <c r="H16">
        <v>2.7</v>
      </c>
      <c r="I16">
        <v>4.9960000000000004</v>
      </c>
      <c r="J16">
        <v>7.6</v>
      </c>
      <c r="K16">
        <f>35.6*10^(-3)</f>
        <v>3.56E-2</v>
      </c>
      <c r="L16" s="6"/>
    </row>
    <row r="17" spans="1:12" x14ac:dyDescent="0.35">
      <c r="C17" s="1"/>
      <c r="G17" s="6"/>
      <c r="H17">
        <v>3</v>
      </c>
      <c r="I17">
        <v>4.9989999999999997</v>
      </c>
      <c r="J17">
        <v>7.9</v>
      </c>
      <c r="K17">
        <f>74.9*10^(-3)</f>
        <v>7.4900000000000008E-2</v>
      </c>
      <c r="L17" s="6"/>
    </row>
    <row r="18" spans="1:12" x14ac:dyDescent="0.35">
      <c r="G18" s="6"/>
      <c r="H18" s="6"/>
      <c r="I18" s="6"/>
      <c r="J18" s="6"/>
      <c r="K18" s="6"/>
      <c r="L18" s="6"/>
    </row>
    <row r="20" spans="1:12" x14ac:dyDescent="0.35">
      <c r="A20">
        <v>3</v>
      </c>
    </row>
    <row r="21" spans="1:12" x14ac:dyDescent="0.35">
      <c r="B21" t="s">
        <v>6</v>
      </c>
      <c r="C21" t="s">
        <v>7</v>
      </c>
      <c r="D21" t="s">
        <v>8</v>
      </c>
      <c r="E21" t="s">
        <v>9</v>
      </c>
      <c r="G21" t="s">
        <v>6</v>
      </c>
      <c r="H21" t="s">
        <v>7</v>
      </c>
      <c r="I21" t="s">
        <v>8</v>
      </c>
      <c r="J21" t="s">
        <v>9</v>
      </c>
    </row>
    <row r="22" spans="1:12" x14ac:dyDescent="0.35">
      <c r="B22" t="s">
        <v>13</v>
      </c>
      <c r="C22" t="s">
        <v>14</v>
      </c>
      <c r="D22">
        <v>0</v>
      </c>
      <c r="E22" t="s">
        <v>15</v>
      </c>
      <c r="G22" t="s">
        <v>11</v>
      </c>
      <c r="H22" t="s">
        <v>24</v>
      </c>
      <c r="I22" t="s">
        <v>23</v>
      </c>
      <c r="J22" t="s">
        <v>25</v>
      </c>
    </row>
    <row r="23" spans="1:12" x14ac:dyDescent="0.35">
      <c r="C23" s="1">
        <v>1113</v>
      </c>
      <c r="D23" t="s">
        <v>17</v>
      </c>
      <c r="E23" t="s">
        <v>16</v>
      </c>
      <c r="H23" t="s">
        <v>27</v>
      </c>
      <c r="I23" t="s">
        <v>17</v>
      </c>
      <c r="J23" t="s">
        <v>26</v>
      </c>
    </row>
    <row r="24" spans="1:12" x14ac:dyDescent="0.35">
      <c r="C24" s="1">
        <v>2023</v>
      </c>
      <c r="D24" t="s">
        <v>13</v>
      </c>
      <c r="E24" t="s">
        <v>18</v>
      </c>
      <c r="H24" s="1">
        <v>1962</v>
      </c>
      <c r="I24" t="s">
        <v>13</v>
      </c>
      <c r="J24" t="s">
        <v>28</v>
      </c>
    </row>
    <row r="25" spans="1:12" x14ac:dyDescent="0.35">
      <c r="C25" s="1">
        <v>3087</v>
      </c>
      <c r="D25" t="s">
        <v>19</v>
      </c>
      <c r="E25" t="s">
        <v>20</v>
      </c>
      <c r="H25" s="1">
        <v>2939</v>
      </c>
      <c r="I25" t="s">
        <v>19</v>
      </c>
      <c r="J25" t="s">
        <v>29</v>
      </c>
    </row>
    <row r="26" spans="1:12" x14ac:dyDescent="0.35">
      <c r="C26" s="1">
        <v>4037</v>
      </c>
      <c r="D26" t="s">
        <v>21</v>
      </c>
      <c r="E26" t="s">
        <v>22</v>
      </c>
      <c r="H26" s="1">
        <v>3979</v>
      </c>
      <c r="I26" t="s">
        <v>21</v>
      </c>
      <c r="J26" t="s">
        <v>30</v>
      </c>
    </row>
    <row r="27" spans="1:12" x14ac:dyDescent="0.35">
      <c r="B27" t="s">
        <v>6</v>
      </c>
      <c r="C27" t="s">
        <v>7</v>
      </c>
      <c r="D27" t="s">
        <v>8</v>
      </c>
      <c r="E27" t="s">
        <v>9</v>
      </c>
      <c r="G27" t="s">
        <v>6</v>
      </c>
      <c r="H27" t="s">
        <v>7</v>
      </c>
      <c r="I27" t="s">
        <v>8</v>
      </c>
      <c r="J27" t="s">
        <v>9</v>
      </c>
    </row>
    <row r="28" spans="1:12" x14ac:dyDescent="0.35">
      <c r="B28" t="s">
        <v>10</v>
      </c>
      <c r="C28" s="1" t="s">
        <v>32</v>
      </c>
      <c r="D28" t="s">
        <v>23</v>
      </c>
      <c r="E28" t="s">
        <v>31</v>
      </c>
      <c r="G28" t="s">
        <v>12</v>
      </c>
      <c r="H28" t="s">
        <v>39</v>
      </c>
      <c r="I28" t="s">
        <v>23</v>
      </c>
      <c r="J28" t="s">
        <v>38</v>
      </c>
    </row>
    <row r="29" spans="1:12" x14ac:dyDescent="0.35">
      <c r="C29" t="s">
        <v>34</v>
      </c>
      <c r="D29" t="s">
        <v>17</v>
      </c>
      <c r="E29" t="s">
        <v>33</v>
      </c>
      <c r="H29" t="s">
        <v>40</v>
      </c>
      <c r="I29" t="s">
        <v>17</v>
      </c>
      <c r="J29" t="s">
        <v>41</v>
      </c>
    </row>
    <row r="30" spans="1:12" x14ac:dyDescent="0.35">
      <c r="C30" s="1">
        <v>1437</v>
      </c>
      <c r="D30" t="s">
        <v>13</v>
      </c>
      <c r="E30" t="s">
        <v>35</v>
      </c>
      <c r="H30" s="1">
        <v>1268</v>
      </c>
      <c r="I30" t="s">
        <v>13</v>
      </c>
      <c r="J30" t="s">
        <v>42</v>
      </c>
    </row>
    <row r="31" spans="1:12" x14ac:dyDescent="0.35">
      <c r="C31" s="1">
        <v>2230</v>
      </c>
      <c r="D31" t="s">
        <v>19</v>
      </c>
      <c r="E31" t="s">
        <v>36</v>
      </c>
      <c r="H31" s="1">
        <v>1981</v>
      </c>
      <c r="I31" t="s">
        <v>19</v>
      </c>
      <c r="J31" t="s">
        <v>43</v>
      </c>
    </row>
    <row r="32" spans="1:12" x14ac:dyDescent="0.35">
      <c r="C32" s="1">
        <v>2897</v>
      </c>
      <c r="D32" t="s">
        <v>21</v>
      </c>
      <c r="E32" t="s">
        <v>37</v>
      </c>
      <c r="H32" s="1">
        <v>2647</v>
      </c>
      <c r="I32" t="s">
        <v>21</v>
      </c>
      <c r="J32" t="s">
        <v>44</v>
      </c>
    </row>
    <row r="36" spans="2:8" x14ac:dyDescent="0.35">
      <c r="B36" t="s">
        <v>59</v>
      </c>
      <c r="C36" t="s">
        <v>64</v>
      </c>
      <c r="D36" t="s">
        <v>65</v>
      </c>
      <c r="E36" t="s">
        <v>59</v>
      </c>
      <c r="F36" t="s">
        <v>64</v>
      </c>
      <c r="G36" t="s">
        <v>65</v>
      </c>
    </row>
    <row r="37" spans="2:8" x14ac:dyDescent="0.35">
      <c r="B37" s="3">
        <v>2</v>
      </c>
      <c r="C37" s="2">
        <v>0</v>
      </c>
      <c r="D37">
        <v>0</v>
      </c>
      <c r="E37" s="3">
        <v>2.2000000000000002</v>
      </c>
      <c r="F37" s="2">
        <v>0</v>
      </c>
      <c r="G37">
        <v>0</v>
      </c>
      <c r="H37" s="3"/>
    </row>
    <row r="38" spans="2:8" x14ac:dyDescent="0.35">
      <c r="C38">
        <v>1.113</v>
      </c>
      <c r="D38">
        <f>110*10^(-6)</f>
        <v>1.0999999999999999E-4</v>
      </c>
      <c r="F38">
        <v>0.98899999999999999</v>
      </c>
      <c r="G38">
        <f>813*10^(-6)</f>
        <v>8.1299999999999992E-4</v>
      </c>
    </row>
    <row r="39" spans="2:8" x14ac:dyDescent="0.35">
      <c r="C39">
        <v>2.2029999999999998</v>
      </c>
      <c r="D39">
        <f>109.5*10^(-6)</f>
        <v>1.0949999999999999E-4</v>
      </c>
      <c r="F39">
        <v>1.982</v>
      </c>
      <c r="G39">
        <f>832*10^(-6)</f>
        <v>8.3199999999999995E-4</v>
      </c>
    </row>
    <row r="40" spans="2:8" x14ac:dyDescent="0.35">
      <c r="C40">
        <v>3.0870000000000002</v>
      </c>
      <c r="D40">
        <f>109.6*10^(-6)</f>
        <v>1.0959999999999999E-4</v>
      </c>
      <c r="F40">
        <v>2.9390000000000001</v>
      </c>
      <c r="G40">
        <f>852*10^(-6)</f>
        <v>8.52E-4</v>
      </c>
    </row>
    <row r="41" spans="2:8" x14ac:dyDescent="0.35">
      <c r="C41">
        <v>4.0369999999999999</v>
      </c>
      <c r="D41">
        <f>109*10^(-6)</f>
        <v>1.0899999999999999E-4</v>
      </c>
      <c r="F41">
        <v>3.9790000000000001</v>
      </c>
      <c r="G41">
        <f>869*10^(-6)</f>
        <v>8.6899999999999998E-4</v>
      </c>
    </row>
    <row r="42" spans="2:8" x14ac:dyDescent="0.35">
      <c r="B42" t="s">
        <v>59</v>
      </c>
      <c r="C42" t="s">
        <v>64</v>
      </c>
      <c r="D42" t="s">
        <v>65</v>
      </c>
      <c r="E42" t="s">
        <v>59</v>
      </c>
      <c r="F42" t="s">
        <v>64</v>
      </c>
      <c r="G42" t="s">
        <v>65</v>
      </c>
    </row>
    <row r="43" spans="2:8" x14ac:dyDescent="0.35">
      <c r="B43">
        <v>2.4</v>
      </c>
      <c r="C43" s="2">
        <v>0</v>
      </c>
      <c r="D43">
        <v>0</v>
      </c>
      <c r="E43">
        <v>2.6</v>
      </c>
      <c r="F43" s="2">
        <v>0</v>
      </c>
      <c r="G43">
        <v>0</v>
      </c>
    </row>
    <row r="44" spans="2:8" x14ac:dyDescent="0.35">
      <c r="C44">
        <v>0.67200000000000004</v>
      </c>
      <c r="D44">
        <f>6.86*10^(-3)</f>
        <v>6.8600000000000006E-3</v>
      </c>
      <c r="F44">
        <f>0.222</f>
        <v>0.222</v>
      </c>
      <c r="G44">
        <f>16.01*10^(-3)</f>
        <v>1.6010000000000003E-2</v>
      </c>
    </row>
    <row r="45" spans="2:8" x14ac:dyDescent="0.35">
      <c r="C45">
        <v>1.4370000000000001</v>
      </c>
      <c r="D45">
        <f>11.49*10^(-3)</f>
        <v>1.149E-2</v>
      </c>
      <c r="F45">
        <v>1.268</v>
      </c>
      <c r="G45">
        <f>15.59*10^(-3)</f>
        <v>1.559E-2</v>
      </c>
    </row>
    <row r="46" spans="2:8" x14ac:dyDescent="0.35">
      <c r="C46">
        <v>2.23</v>
      </c>
      <c r="D46">
        <f>15.56*10^(-3)</f>
        <v>1.5560000000000001E-2</v>
      </c>
      <c r="F46">
        <v>1.9810000000000001</v>
      </c>
      <c r="G46">
        <f>20.55*10^(-3)</f>
        <v>2.0550000000000002E-2</v>
      </c>
    </row>
    <row r="47" spans="2:8" x14ac:dyDescent="0.35">
      <c r="C47">
        <v>2.8969999999999998</v>
      </c>
      <c r="D47">
        <f>20.74*10^(-3)</f>
        <v>2.0739999999999998E-2</v>
      </c>
      <c r="F47">
        <v>2.6469999999999998</v>
      </c>
      <c r="G47">
        <f>25.91*10^(-3)</f>
        <v>2.5909999999999999E-2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view="pageBreakPreview" zoomScale="25" zoomScaleNormal="100" zoomScaleSheetLayoutView="25" workbookViewId="0">
      <selection activeCell="T42" sqref="T42"/>
    </sheetView>
  </sheetViews>
  <sheetFormatPr defaultRowHeight="14.5" x14ac:dyDescent="0.35"/>
  <cols>
    <col min="3" max="3" width="9.1796875" customWidth="1"/>
  </cols>
  <sheetData>
    <row r="1" spans="1:10" x14ac:dyDescent="0.35">
      <c r="A1" s="10" t="s">
        <v>63</v>
      </c>
      <c r="B1" s="10" t="s">
        <v>66</v>
      </c>
      <c r="C1" s="10" t="s">
        <v>67</v>
      </c>
      <c r="D1" s="10" t="s">
        <v>63</v>
      </c>
      <c r="E1" s="10" t="s">
        <v>66</v>
      </c>
      <c r="F1" s="10" t="s">
        <v>67</v>
      </c>
    </row>
    <row r="2" spans="1:10" x14ac:dyDescent="0.35">
      <c r="A2" s="10" t="s">
        <v>68</v>
      </c>
      <c r="B2" s="10">
        <v>4.0000000000000001E-3</v>
      </c>
      <c r="C2" s="11">
        <f>0.0000212</f>
        <v>2.12E-5</v>
      </c>
      <c r="D2" s="10" t="s">
        <v>69</v>
      </c>
      <c r="E2" s="10">
        <v>0</v>
      </c>
      <c r="F2" s="11">
        <v>4.3800000000000001E-5</v>
      </c>
      <c r="G2" s="13"/>
      <c r="H2" s="13"/>
      <c r="I2" s="13"/>
      <c r="J2" s="13"/>
    </row>
    <row r="3" spans="1:10" x14ac:dyDescent="0.35">
      <c r="A3" s="12"/>
      <c r="B3" s="10">
        <v>0.50900000000000001</v>
      </c>
      <c r="C3" s="11">
        <v>1.8120000000000001E-4</v>
      </c>
      <c r="D3" s="10"/>
      <c r="E3" s="10">
        <v>0.50600000000000001</v>
      </c>
      <c r="F3" s="11">
        <v>1.7880000000000001E-3</v>
      </c>
      <c r="G3" s="7"/>
      <c r="H3" s="10">
        <v>4.0000000000000001E-3</v>
      </c>
      <c r="I3" s="11">
        <f>0.0000212</f>
        <v>2.12E-5</v>
      </c>
      <c r="J3" s="7"/>
    </row>
    <row r="4" spans="1:10" x14ac:dyDescent="0.35">
      <c r="A4" s="12"/>
      <c r="B4" s="10">
        <v>0.99399999999999999</v>
      </c>
      <c r="C4" s="11">
        <v>1.8670000000000001E-4</v>
      </c>
      <c r="D4" s="10"/>
      <c r="E4" s="10">
        <v>1.0129999999999999</v>
      </c>
      <c r="F4" s="11">
        <v>1.8550000000000001E-3</v>
      </c>
      <c r="G4" s="7"/>
      <c r="H4" s="12">
        <v>0.106</v>
      </c>
      <c r="I4" s="11">
        <v>5.7879999999999997E-4</v>
      </c>
      <c r="J4" s="7"/>
    </row>
    <row r="5" spans="1:10" x14ac:dyDescent="0.35">
      <c r="A5" s="12"/>
      <c r="B5" s="10">
        <v>1.496</v>
      </c>
      <c r="C5" s="11">
        <v>1.5029999999999999E-4</v>
      </c>
      <c r="D5" s="10"/>
      <c r="E5" s="10">
        <v>1.4950000000000001</v>
      </c>
      <c r="F5" s="11">
        <v>1.8940000000000001E-3</v>
      </c>
      <c r="G5" s="7"/>
      <c r="H5" s="10">
        <v>0.30599999999999999</v>
      </c>
      <c r="I5" s="11">
        <v>4.4999999999999997E-3</v>
      </c>
      <c r="J5" s="7"/>
    </row>
    <row r="6" spans="1:10" x14ac:dyDescent="0.35">
      <c r="A6" s="12"/>
      <c r="B6" s="10">
        <v>2.004</v>
      </c>
      <c r="C6" s="11">
        <v>1.5029999999999999E-4</v>
      </c>
      <c r="D6" s="10"/>
      <c r="E6" s="10">
        <v>2</v>
      </c>
      <c r="F6" s="11">
        <v>1.9189999999999999E-3</v>
      </c>
      <c r="G6" s="7"/>
      <c r="H6" s="10">
        <v>0.50600000000000001</v>
      </c>
      <c r="I6" s="11">
        <v>1.162E-2</v>
      </c>
      <c r="J6" s="7"/>
    </row>
    <row r="7" spans="1:10" x14ac:dyDescent="0.35">
      <c r="A7" s="12"/>
      <c r="B7" s="12"/>
      <c r="C7" s="12"/>
      <c r="D7" s="10"/>
      <c r="E7" s="10">
        <v>2.5179999999999998</v>
      </c>
      <c r="F7" s="11">
        <v>1.946E-3</v>
      </c>
      <c r="G7" s="7"/>
      <c r="H7" s="7"/>
      <c r="I7" s="7"/>
      <c r="J7" s="7"/>
    </row>
    <row r="8" spans="1:10" x14ac:dyDescent="0.35">
      <c r="A8" s="12"/>
      <c r="B8" s="12"/>
      <c r="C8" s="12"/>
      <c r="D8" s="10"/>
      <c r="E8" s="10">
        <v>3.08</v>
      </c>
      <c r="F8" s="11">
        <v>1.98E-3</v>
      </c>
      <c r="H8" t="s">
        <v>5</v>
      </c>
      <c r="I8" t="s">
        <v>72</v>
      </c>
      <c r="J8" t="s">
        <v>73</v>
      </c>
    </row>
    <row r="9" spans="1:10" x14ac:dyDescent="0.35">
      <c r="A9" s="12"/>
      <c r="B9" s="12"/>
      <c r="C9" s="12"/>
      <c r="D9" s="10"/>
      <c r="E9" s="10">
        <v>3.5059999999999998</v>
      </c>
      <c r="F9" s="11">
        <v>2.006E-3</v>
      </c>
      <c r="H9">
        <v>2</v>
      </c>
      <c r="I9">
        <v>2.0939999999999999</v>
      </c>
      <c r="J9">
        <f>H9-I9</f>
        <v>-9.3999999999999861E-2</v>
      </c>
    </row>
    <row r="10" spans="1:10" x14ac:dyDescent="0.35">
      <c r="A10" s="12"/>
      <c r="B10" s="12"/>
      <c r="C10" s="12"/>
      <c r="D10" s="10"/>
      <c r="E10" s="10">
        <v>4</v>
      </c>
      <c r="F10" s="11">
        <v>2.042E-3</v>
      </c>
      <c r="H10">
        <v>2.2000000000000002</v>
      </c>
      <c r="I10">
        <v>2.0939999999999999</v>
      </c>
      <c r="J10">
        <f t="shared" ref="J10:J12" si="0">H10-I10</f>
        <v>0.10600000000000032</v>
      </c>
    </row>
    <row r="11" spans="1:10" x14ac:dyDescent="0.35">
      <c r="A11" s="10" t="s">
        <v>63</v>
      </c>
      <c r="B11" s="10" t="s">
        <v>66</v>
      </c>
      <c r="C11" s="10" t="s">
        <v>67</v>
      </c>
      <c r="D11" s="10" t="s">
        <v>63</v>
      </c>
      <c r="E11" s="10" t="s">
        <v>66</v>
      </c>
      <c r="F11" s="10" t="s">
        <v>67</v>
      </c>
      <c r="H11">
        <v>2.4</v>
      </c>
      <c r="I11">
        <v>2.0939999999999999</v>
      </c>
      <c r="J11">
        <f t="shared" si="0"/>
        <v>0.30600000000000005</v>
      </c>
    </row>
    <row r="12" spans="1:10" x14ac:dyDescent="0.35">
      <c r="A12" s="10" t="s">
        <v>70</v>
      </c>
      <c r="B12" s="10">
        <v>0</v>
      </c>
      <c r="C12" s="11">
        <v>5.02E-5</v>
      </c>
      <c r="D12" s="10" t="s">
        <v>71</v>
      </c>
      <c r="E12" s="10">
        <v>0</v>
      </c>
      <c r="F12" s="11">
        <v>5.8300000000000001E-5</v>
      </c>
      <c r="H12" s="9">
        <v>2.6</v>
      </c>
      <c r="I12">
        <v>2.0939999999999999</v>
      </c>
      <c r="J12">
        <f t="shared" si="0"/>
        <v>0.50600000000000023</v>
      </c>
    </row>
    <row r="13" spans="1:10" x14ac:dyDescent="0.35">
      <c r="A13" s="10"/>
      <c r="B13" s="10">
        <v>0.52200000000000002</v>
      </c>
      <c r="C13" s="11">
        <v>7.3000000000000001E-3</v>
      </c>
      <c r="D13" s="10"/>
      <c r="E13" s="10">
        <v>0.52500000000000002</v>
      </c>
      <c r="F13" s="11">
        <v>1.162E-2</v>
      </c>
    </row>
    <row r="14" spans="1:10" x14ac:dyDescent="0.35">
      <c r="A14" s="10"/>
      <c r="B14" s="10">
        <v>1.016</v>
      </c>
      <c r="C14" s="11">
        <v>9.6600000000000002E-3</v>
      </c>
      <c r="D14" s="10"/>
      <c r="E14" s="10">
        <v>1.016</v>
      </c>
      <c r="F14" s="11">
        <v>1.289E-2</v>
      </c>
    </row>
    <row r="15" spans="1:10" x14ac:dyDescent="0.35">
      <c r="A15" s="10"/>
      <c r="B15" s="10">
        <v>1.5069999999999999</v>
      </c>
      <c r="C15" s="11">
        <v>1.307E-2</v>
      </c>
      <c r="D15" s="10"/>
      <c r="E15" s="10">
        <v>1.538</v>
      </c>
      <c r="F15" s="11">
        <v>1.6140000000000002E-2</v>
      </c>
    </row>
    <row r="16" spans="1:10" x14ac:dyDescent="0.35">
      <c r="A16" s="4"/>
      <c r="B16" s="4">
        <v>2.0139999999999998</v>
      </c>
      <c r="C16" s="5">
        <v>1.6729999999999998E-2</v>
      </c>
      <c r="D16" s="4"/>
      <c r="E16" s="4">
        <v>2.0169999999999999</v>
      </c>
      <c r="F16" s="5">
        <v>1.9720000000000001E-2</v>
      </c>
    </row>
    <row r="17" spans="1:6" x14ac:dyDescent="0.35">
      <c r="A17" s="4"/>
      <c r="B17" s="4">
        <v>2.5059999999999998</v>
      </c>
      <c r="C17" s="5">
        <v>2.0459999999999999E-2</v>
      </c>
      <c r="D17" s="4"/>
      <c r="E17" s="4">
        <v>2.5089999999999999</v>
      </c>
      <c r="F17" s="5">
        <v>2.342E-2</v>
      </c>
    </row>
    <row r="18" spans="1:6" x14ac:dyDescent="0.35">
      <c r="A18" s="4"/>
      <c r="B18" s="4">
        <v>3.0009999999999999</v>
      </c>
      <c r="C18" s="5">
        <v>2.4420000000000001E-2</v>
      </c>
      <c r="D18" s="4"/>
      <c r="E18" s="4">
        <v>3.0019999999999998</v>
      </c>
      <c r="F18" s="5">
        <v>2.726E-2</v>
      </c>
    </row>
    <row r="19" spans="1:6" x14ac:dyDescent="0.35">
      <c r="A19" s="4"/>
      <c r="B19" s="4">
        <v>3.5</v>
      </c>
      <c r="C19" s="5">
        <v>2.8469999999999999E-2</v>
      </c>
      <c r="D19" s="4"/>
      <c r="E19" s="4">
        <v>3.496</v>
      </c>
      <c r="F19" s="5">
        <v>3.1269999999999999E-2</v>
      </c>
    </row>
    <row r="20" spans="1:6" x14ac:dyDescent="0.35">
      <c r="A20" s="4"/>
      <c r="B20" s="4">
        <v>4.0069999999999997</v>
      </c>
      <c r="C20" s="5">
        <v>3.2689999999999997E-2</v>
      </c>
      <c r="D20" s="4"/>
      <c r="E20" s="4">
        <v>3.9969999999999999</v>
      </c>
      <c r="F20" s="5">
        <v>3.5490000000000001E-2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>
      <selection activeCell="C9" sqref="C9"/>
    </sheetView>
  </sheetViews>
  <sheetFormatPr defaultRowHeight="14.5" x14ac:dyDescent="0.35"/>
  <cols>
    <col min="2" max="2" width="11.453125" customWidth="1"/>
  </cols>
  <sheetData>
    <row r="2" spans="2:5" x14ac:dyDescent="0.35">
      <c r="E2" t="s">
        <v>49</v>
      </c>
    </row>
    <row r="3" spans="2:5" x14ac:dyDescent="0.35">
      <c r="B3" t="s">
        <v>45</v>
      </c>
      <c r="C3" t="s">
        <v>46</v>
      </c>
      <c r="E3" t="s">
        <v>50</v>
      </c>
    </row>
    <row r="4" spans="2:5" x14ac:dyDescent="0.35">
      <c r="B4" t="s">
        <v>47</v>
      </c>
      <c r="C4" t="s">
        <v>48</v>
      </c>
      <c r="E4" t="s">
        <v>51</v>
      </c>
    </row>
    <row r="7" spans="2:5" x14ac:dyDescent="0.35">
      <c r="B7" t="s">
        <v>52</v>
      </c>
      <c r="C7" t="s">
        <v>53</v>
      </c>
    </row>
    <row r="8" spans="2:5" x14ac:dyDescent="0.35">
      <c r="C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55</v>
      </c>
      <c r="B1" t="s">
        <v>56</v>
      </c>
    </row>
    <row r="2" spans="1:2" x14ac:dyDescent="0.35">
      <c r="A2" t="s">
        <v>57</v>
      </c>
      <c r="B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Problem 1</vt:lpstr>
      <vt:lpstr>Desar Problem1</vt:lpstr>
      <vt:lpstr>Problem 2</vt:lpstr>
      <vt:lpstr>Problem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Hayoung Kim</dc:creator>
  <cp:lastModifiedBy>Hayoung Kim</cp:lastModifiedBy>
  <dcterms:created xsi:type="dcterms:W3CDTF">2019-04-08T12:52:52Z</dcterms:created>
  <dcterms:modified xsi:type="dcterms:W3CDTF">2019-04-14T12:27:02Z</dcterms:modified>
</cp:coreProperties>
</file>